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ROI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model</author>
  </authors>
  <commentList>
    <comment ref="C5" authorId="0">
      <text>
        <r>
          <rPr>
            <sz val="10"/>
            <rFont val="Arial"/>
            <family val="2"/>
          </rPr>
          <t xml:space="preserve">Paste your real number here</t>
        </r>
      </text>
    </comment>
    <comment ref="C6" authorId="0">
      <text>
        <r>
          <rPr>
            <sz val="10"/>
            <rFont val="Arial"/>
            <family val="2"/>
          </rPr>
          <t xml:space="preserve">Paste your real number here</t>
        </r>
      </text>
    </comment>
    <comment ref="C7" authorId="0">
      <text>
        <r>
          <rPr>
            <sz val="10"/>
            <rFont val="Arial"/>
            <family val="2"/>
          </rPr>
          <t xml:space="preserve">Paste your real number here</t>
        </r>
      </text>
    </comment>
    <comment ref="C8" authorId="0">
      <text>
        <r>
          <rPr>
            <sz val="10"/>
            <rFont val="Arial"/>
            <family val="2"/>
          </rPr>
          <t xml:space="preserve">Paste your real number here</t>
        </r>
      </text>
    </comment>
  </commentList>
</comments>
</file>

<file path=xl/sharedStrings.xml><?xml version="1.0" encoding="utf-8"?>
<sst xmlns="http://schemas.openxmlformats.org/spreadsheetml/2006/main" count="108" uniqueCount="101">
  <si>
    <t xml:space="preserve">DRiX Business-Impact Model  —  illustrative, assumption-based</t>
  </si>
  <si>
    <t xml:space="preserve">Layer 2 of the study. The simulation (Layer 1) measures only the QUALITY edge. The reply/win/cycle figures below are MODELED from published industry benchmarks (see Sources tab) and are estimates, not measured outcomes. Read 'Expected' as the headline; 'Conservative' is the safe floor.</t>
  </si>
  <si>
    <t xml:space="preserve">SIMULATION RESULTS  (paste from benchmark_results.csv OVERALL rows after the run)</t>
  </si>
  <si>
    <t xml:space="preserve">DRiX blind win-rate vs GPT-4o</t>
  </si>
  <si>
    <t xml:space="preserve">Headline credibility metric. From OVERALL/gpt4o row, drix_win_rate.</t>
  </si>
  <si>
    <t xml:space="preserve">DRiX relative score lift vs GPT-4o</t>
  </si>
  <si>
    <t xml:space="preserve">From OVERALL/gpt4o row, rel_lift_pct (likelihood-to-respond).</t>
  </si>
  <si>
    <t xml:space="preserve">DRiX blind win-rate vs Flash-lite</t>
  </si>
  <si>
    <t xml:space="preserve">From OVERALL/flashlite row, drix_win_rate.</t>
  </si>
  <si>
    <t xml:space="preserve">DRiX relative score lift vs Flash-lite</t>
  </si>
  <si>
    <t xml:space="preserve">From OVERALL/flashlite row, rel_lift_pct.</t>
  </si>
  <si>
    <t xml:space="preserve">Note: the model below anchors DRiX's reply-rate lift to PUBLISHED personalization research, cross-checked for direction against the simulation above (a higher win-rate supports the upper bands).</t>
  </si>
  <si>
    <t xml:space="preserve">ASSUMPTIONS  (blue = edit these)</t>
  </si>
  <si>
    <t xml:space="preserve">Scenario</t>
  </si>
  <si>
    <t xml:space="preserve">Conservative</t>
  </si>
  <si>
    <t xml:space="preserve">Expected</t>
  </si>
  <si>
    <t xml:space="preserve">Optimistic</t>
  </si>
  <si>
    <t xml:space="preserve">Source (see Sources tab)</t>
  </si>
  <si>
    <t xml:space="preserve">Baseline cold-email reply rate</t>
  </si>
  <si>
    <t xml:space="preserve">B2B avg ~3-5% (Belkins, Instantly, Built For B2B, 2025).</t>
  </si>
  <si>
    <t xml:space="preserve">DRiX reply-rate multiplier (personalization lift)</t>
  </si>
  <si>
    <t xml:space="preserve">Personalization lift: +32.7% (SalesS.io) -&gt; ~2x advanced (9%-&gt;18%) -&gt; 4-8x extreme (Martal/Apollo).</t>
  </si>
  <si>
    <t xml:space="preserve">Reply -&gt; closed-won conversion</t>
  </si>
  <si>
    <t xml:space="preserve">Composite of funnel benchmarks: SQL-&gt;opp ~50%, opp-&gt;close 15-40%, meeting-&gt;close ~33% (Glue Up, HiBob).</t>
  </si>
  <si>
    <t xml:space="preserve">Baseline sales-cycle length (days)</t>
  </si>
  <si>
    <t xml:space="preserve">B2B SaaS median ~84 days (Optifai, 2025).</t>
  </si>
  <si>
    <t xml:space="preserve">DRiX sales-cycle reduction</t>
  </si>
  <si>
    <t xml:space="preserve">Personalization/relevance -&gt; 40-50% reduction at high end (treated as ceiling); Expected ~half.</t>
  </si>
  <si>
    <t xml:space="preserve">Leads contacted (basis for win counts)</t>
  </si>
  <si>
    <t xml:space="preserve">Arbitrary basis for expressing absolute wins; change freely.</t>
  </si>
  <si>
    <t xml:space="preserve">METRIC 1  —  COLD-EMAIL RESPONSE RATE</t>
  </si>
  <si>
    <t xml:space="preserve">Baseline response rate</t>
  </si>
  <si>
    <t xml:space="preserve">DRiX response rate</t>
  </si>
  <si>
    <t xml:space="preserve">Response-rate lift</t>
  </si>
  <si>
    <t xml:space="preserve">METRIC 2  —  WIN RATE  (per leads-contacted basis, downstream conversion held equal)</t>
  </si>
  <si>
    <t xml:space="preserve">Baseline closed-won deals</t>
  </si>
  <si>
    <t xml:space="preserve">DRiX closed-won deals</t>
  </si>
  <si>
    <t xml:space="preserve">Additional wins vs baseline</t>
  </si>
  <si>
    <t xml:space="preserve">Win-rate lift</t>
  </si>
  <si>
    <t xml:space="preserve">METRIC 3  —  SALES-CYCLE LENGTH</t>
  </si>
  <si>
    <t xml:space="preserve">Baseline cycle (days)</t>
  </si>
  <si>
    <t xml:space="preserve">DRiX cycle (days)</t>
  </si>
  <si>
    <t xml:space="preserve">Days saved</t>
  </si>
  <si>
    <t xml:space="preserve">Cycle reduction</t>
  </si>
  <si>
    <t xml:space="preserve">HONEST FRAMING: lead with 'Expected'. These are AI-/benchmark-inferred estimates, not measured. A real pilot is the only way to confirm them.</t>
  </si>
  <si>
    <t xml:space="preserve">Customer ROI  —  what a $5,000/year DRiX subscription returns</t>
  </si>
  <si>
    <t xml:space="preserve">INPUTS  (edit these — blue/yellow)</t>
  </si>
  <si>
    <t xml:space="preserve">DRiX subscription price ($/year)</t>
  </si>
  <si>
    <t xml:space="preserve">The annual fee the customer pays.</t>
  </si>
  <si>
    <t xml:space="preserve">Leads contacted per year</t>
  </si>
  <si>
    <t xml:space="preserve">How many prospects the customer emails in a year. EDIT to their volume.</t>
  </si>
  <si>
    <t xml:space="preserve">Average deal value / ACV ($)</t>
  </si>
  <si>
    <t xml:space="preserve">Revenue per closed deal. EDIT to their segment (SMB ~5k, mid ~15k, ent 100k+).</t>
  </si>
  <si>
    <t xml:space="preserve">Gross margin on new revenue (%)</t>
  </si>
  <si>
    <t xml:space="preserve">Set &lt;100% to count margin instead of top-line revenue.</t>
  </si>
  <si>
    <t xml:space="preserve">Pulls reply rate, lift multiplier &amp; conversion from the Model tab</t>
  </si>
  <si>
    <t xml:space="preserve">Baseline deals won / year</t>
  </si>
  <si>
    <t xml:space="preserve">leads x baseline reply rate x reply-to-won</t>
  </si>
  <si>
    <t xml:space="preserve">DRiX deals won / year</t>
  </si>
  <si>
    <t xml:space="preserve">leads x (baseline reply x DRiX multiplier) x reply-to-won</t>
  </si>
  <si>
    <t xml:space="preserve">Additional deals / year (DRiX - baseline)</t>
  </si>
  <si>
    <t xml:space="preserve">Additional revenue / year ($)</t>
  </si>
  <si>
    <t xml:space="preserve">DRiX cost / year ($)</t>
  </si>
  <si>
    <t xml:space="preserve">Net gain / year ($)</t>
  </si>
  <si>
    <t xml:space="preserve">ROI (revenue / cost)</t>
  </si>
  <si>
    <t xml:space="preserve">ROI (%)</t>
  </si>
  <si>
    <t xml:space="preserve">Break-even: extra deals needed to cover fee</t>
  </si>
  <si>
    <t xml:space="preserve">Clears break-even?</t>
  </si>
  <si>
    <t xml:space="preserve">These ROI figures are MODELED from the assumption bands on the Model tab and the inputs above. They are estimates, not guaranteed returns. Lead with 'Expected'; quote 'Conservative' as the floor. A live pilot is the only way to confirm them.</t>
  </si>
  <si>
    <t xml:space="preserve">Sources &amp; Benchmarks</t>
  </si>
  <si>
    <t xml:space="preserve">Metric</t>
  </si>
  <si>
    <t xml:space="preserve">Figure used</t>
  </si>
  <si>
    <t xml:space="preserve">Source</t>
  </si>
  <si>
    <t xml:space="preserve">Cold-email reply rate (baseline)</t>
  </si>
  <si>
    <t xml:space="preserve">~3-5% B2B avg (2025)</t>
  </si>
  <si>
    <t xml:space="preserve">Belkins — belkins.io/blog/cold-email-response-rates</t>
  </si>
  <si>
    <t xml:space="preserve">~3.4-5.1% platform avg</t>
  </si>
  <si>
    <t xml:space="preserve">Built For B2B — builtforb2b.com/blog/b2b-cold-email-benchmark-2025</t>
  </si>
  <si>
    <t xml:space="preserve">Personalization reply lift</t>
  </si>
  <si>
    <t xml:space="preserve">+32.7% personalized content</t>
  </si>
  <si>
    <t xml:space="preserve">SalesS.io (via cold email statistics roundups)</t>
  </si>
  <si>
    <t xml:space="preserve">~2x: 9% -&gt; 18% advanced personalization</t>
  </si>
  <si>
    <t xml:space="preserve">thedigitalbloom.com/learn/cold-outbound-reply-rate-benchmarks</t>
  </si>
  <si>
    <t xml:space="preserve">+142% / up to 4-8x</t>
  </si>
  <si>
    <t xml:space="preserve">Martal — martal.ca/b2b-cold-email-statistics-lb; Apollo.io insights</t>
  </si>
  <si>
    <t xml:space="preserve">Funnel: SQL-&gt;opportunity</t>
  </si>
  <si>
    <t xml:space="preserve">~50% (high performers 55-62%)</t>
  </si>
  <si>
    <t xml:space="preserve">Glue Up — glueup.com/blog/sales-funnel-conversion-rate-benchmarks</t>
  </si>
  <si>
    <t xml:space="preserve">Funnel: opportunity-&gt;close</t>
  </si>
  <si>
    <t xml:space="preserve">~15-40% (SMB ~39%, Ent ~31%)</t>
  </si>
  <si>
    <t xml:space="preserve">Glue Up; HiBob — hibob.com/blog/sales-funnel-conversion-rate</t>
  </si>
  <si>
    <t xml:space="preserve">Funnel: meeting-&gt;close</t>
  </si>
  <si>
    <t xml:space="preserve">~33%</t>
  </si>
  <si>
    <t xml:space="preserve">HiBob / industry benchmark roundups</t>
  </si>
  <si>
    <t xml:space="preserve">Baseline sales-cycle length</t>
  </si>
  <si>
    <t xml:space="preserve">~84 days B2B SaaS median</t>
  </si>
  <si>
    <t xml:space="preserve">Optifai — optif.ai/learn/questions/sales-cycle-length-benchmark</t>
  </si>
  <si>
    <t xml:space="preserve">Sales-cycle reduction (personalization)</t>
  </si>
  <si>
    <t xml:space="preserve">40-50% at high end</t>
  </si>
  <si>
    <t xml:space="preserve">Personalization velocity studies (treated as ceiling)</t>
  </si>
  <si>
    <t xml:space="preserve">Note: figures are public vendor/industry benchmarks, not peer-reviewed. Ranges are wide on purpose; the model uses them as Conservative/Expected/Optimistic bands rather than point claims.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</si>
</sst>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%"/>
    <numFmt numFmtId="166" formatCode="0.00\x"/>
    <numFmt numFmtId="167" formatCode="0"/>
    <numFmt numFmtId="168" formatCode="#,##0"/>
    <numFmt numFmtId="169" formatCode="\+0.0%;\-0.0%"/>
    <numFmt numFmtId="170" formatCode="#,##0.0"/>
    <numFmt numFmtId="171" formatCode="\+#,##0.0;\-#,##0.0"/>
    <numFmt numFmtId="172" formatCode="\+0;\-0"/>
    <numFmt numFmtId="173" formatCode="\$#,##0"/>
    <numFmt numFmtId="174" formatCode="0%"/>
    <numFmt numFmtId="175" formatCode="\$#,##0;&quot;($&quot;#,##0\)"/>
    <numFmt numFmtId="176" formatCode="0.0\x"/>
    <numFmt numFmtId="177" formatCode="\+0%;\-0%"/>
    <numFmt numFmtId="178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5"/>
    <col collapsed="false" customWidth="true" hidden="false" outlineLevel="0" max="5" min="5" style="1" width="2"/>
    <col collapsed="false" customWidth="true" hidden="false" outlineLevel="0" max="6" min="6" style="1" width="60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39.7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5" t="s">
        <v>3</v>
      </c>
      <c r="C5" s="6" t="n">
        <v>0</v>
      </c>
      <c r="F5" s="7" t="s">
        <v>4</v>
      </c>
    </row>
    <row r="6" customFormat="false" ht="15" hidden="false" customHeight="true" outlineLevel="0" collapsed="false">
      <c r="A6" s="5" t="s">
        <v>5</v>
      </c>
      <c r="C6" s="6" t="n">
        <v>0</v>
      </c>
      <c r="F6" s="7" t="s">
        <v>6</v>
      </c>
    </row>
    <row r="7" customFormat="false" ht="15" hidden="false" customHeight="true" outlineLevel="0" collapsed="false">
      <c r="A7" s="5" t="s">
        <v>7</v>
      </c>
      <c r="C7" s="6" t="n">
        <v>0</v>
      </c>
      <c r="F7" s="7" t="s">
        <v>8</v>
      </c>
    </row>
    <row r="8" customFormat="false" ht="15" hidden="false" customHeight="true" outlineLevel="0" collapsed="false">
      <c r="A8" s="5" t="s">
        <v>9</v>
      </c>
      <c r="C8" s="6" t="n">
        <v>0</v>
      </c>
      <c r="F8" s="7" t="s">
        <v>10</v>
      </c>
    </row>
    <row r="9" customFormat="false" ht="15" hidden="false" customHeight="true" outlineLevel="0" collapsed="false">
      <c r="A9" s="3" t="s">
        <v>11</v>
      </c>
      <c r="B9" s="3"/>
      <c r="C9" s="3"/>
      <c r="D9" s="3"/>
      <c r="E9" s="3"/>
      <c r="F9" s="3"/>
    </row>
    <row r="11" customFormat="false" ht="15" hidden="false" customHeight="true" outlineLevel="0" collapsed="false">
      <c r="A11" s="4" t="s">
        <v>12</v>
      </c>
      <c r="B11" s="4"/>
      <c r="C11" s="4"/>
      <c r="D11" s="4"/>
      <c r="E11" s="4"/>
      <c r="F11" s="4"/>
    </row>
    <row r="12" customFormat="false" ht="15" hidden="false" customHeight="true" outlineLevel="0" collapsed="false">
      <c r="A12" s="8" t="s">
        <v>13</v>
      </c>
      <c r="B12" s="9" t="s">
        <v>14</v>
      </c>
      <c r="C12" s="9" t="s">
        <v>15</v>
      </c>
      <c r="D12" s="9" t="s">
        <v>16</v>
      </c>
      <c r="F12" s="10" t="s">
        <v>17</v>
      </c>
    </row>
    <row r="13" customFormat="false" ht="15" hidden="false" customHeight="true" outlineLevel="0" collapsed="false">
      <c r="A13" s="5" t="s">
        <v>18</v>
      </c>
      <c r="B13" s="11" t="n">
        <v>0.03</v>
      </c>
      <c r="C13" s="11" t="n">
        <v>0.04</v>
      </c>
      <c r="D13" s="11" t="n">
        <v>0.05</v>
      </c>
      <c r="F13" s="7" t="s">
        <v>19</v>
      </c>
    </row>
    <row r="14" customFormat="false" ht="15" hidden="false" customHeight="true" outlineLevel="0" collapsed="false">
      <c r="A14" s="5" t="s">
        <v>20</v>
      </c>
      <c r="B14" s="12" t="n">
        <v>1.32</v>
      </c>
      <c r="C14" s="12" t="n">
        <v>2</v>
      </c>
      <c r="D14" s="12" t="n">
        <v>4</v>
      </c>
      <c r="F14" s="7" t="s">
        <v>21</v>
      </c>
    </row>
    <row r="15" customFormat="false" ht="15" hidden="false" customHeight="true" outlineLevel="0" collapsed="false">
      <c r="A15" s="5" t="s">
        <v>22</v>
      </c>
      <c r="B15" s="11" t="n">
        <v>0.05</v>
      </c>
      <c r="C15" s="11" t="n">
        <v>0.1</v>
      </c>
      <c r="D15" s="11" t="n">
        <v>0.15</v>
      </c>
      <c r="F15" s="7" t="s">
        <v>23</v>
      </c>
    </row>
    <row r="16" customFormat="false" ht="15" hidden="false" customHeight="true" outlineLevel="0" collapsed="false">
      <c r="A16" s="5" t="s">
        <v>24</v>
      </c>
      <c r="B16" s="13" t="n">
        <v>84</v>
      </c>
      <c r="C16" s="13" t="n">
        <v>84</v>
      </c>
      <c r="D16" s="13" t="n">
        <v>84</v>
      </c>
      <c r="F16" s="7" t="s">
        <v>25</v>
      </c>
    </row>
    <row r="17" customFormat="false" ht="15" hidden="false" customHeight="true" outlineLevel="0" collapsed="false">
      <c r="A17" s="5" t="s">
        <v>26</v>
      </c>
      <c r="B17" s="11" t="n">
        <v>0.1</v>
      </c>
      <c r="C17" s="11" t="n">
        <v>0.25</v>
      </c>
      <c r="D17" s="11" t="n">
        <v>0.45</v>
      </c>
      <c r="F17" s="7" t="s">
        <v>27</v>
      </c>
    </row>
    <row r="18" customFormat="false" ht="15" hidden="false" customHeight="true" outlineLevel="0" collapsed="false">
      <c r="A18" s="5" t="s">
        <v>28</v>
      </c>
      <c r="B18" s="14" t="n">
        <v>1000</v>
      </c>
      <c r="C18" s="14" t="n">
        <v>1000</v>
      </c>
      <c r="D18" s="14" t="n">
        <v>1000</v>
      </c>
      <c r="F18" s="7" t="s">
        <v>29</v>
      </c>
    </row>
    <row r="20" customFormat="false" ht="15" hidden="false" customHeight="true" outlineLevel="0" collapsed="false">
      <c r="A20" s="4" t="s">
        <v>30</v>
      </c>
      <c r="B20" s="4"/>
      <c r="C20" s="4"/>
      <c r="D20" s="4"/>
      <c r="E20" s="4"/>
      <c r="F20" s="4"/>
    </row>
    <row r="21" customFormat="false" ht="15" hidden="false" customHeight="true" outlineLevel="0" collapsed="false">
      <c r="A21" s="5" t="s">
        <v>31</v>
      </c>
      <c r="B21" s="15" t="n">
        <f aca="false">B13</f>
        <v>0.03</v>
      </c>
      <c r="C21" s="15" t="n">
        <f aca="false">C13</f>
        <v>0.04</v>
      </c>
      <c r="D21" s="15" t="n">
        <f aca="false">D13</f>
        <v>0.05</v>
      </c>
    </row>
    <row r="22" customFormat="false" ht="15" hidden="false" customHeight="true" outlineLevel="0" collapsed="false">
      <c r="A22" s="16" t="s">
        <v>32</v>
      </c>
      <c r="B22" s="15" t="n">
        <f aca="false">B13*B14</f>
        <v>0.0396</v>
      </c>
      <c r="C22" s="15" t="n">
        <f aca="false">C13*C14</f>
        <v>0.08</v>
      </c>
      <c r="D22" s="15" t="n">
        <f aca="false">D13*D14</f>
        <v>0.2</v>
      </c>
    </row>
    <row r="23" customFormat="false" ht="15" hidden="false" customHeight="true" outlineLevel="0" collapsed="false">
      <c r="A23" s="16" t="s">
        <v>33</v>
      </c>
      <c r="B23" s="17" t="n">
        <f aca="false">B22/B21-1</f>
        <v>0.32</v>
      </c>
      <c r="C23" s="17" t="n">
        <f aca="false">C22/C21-1</f>
        <v>1</v>
      </c>
      <c r="D23" s="17" t="n">
        <f aca="false">D22/D21-1</f>
        <v>3</v>
      </c>
    </row>
    <row r="25" customFormat="false" ht="15" hidden="false" customHeight="true" outlineLevel="0" collapsed="false">
      <c r="A25" s="4" t="s">
        <v>34</v>
      </c>
      <c r="B25" s="4"/>
      <c r="C25" s="4"/>
      <c r="D25" s="4"/>
      <c r="E25" s="4"/>
      <c r="F25" s="4"/>
    </row>
    <row r="26" customFormat="false" ht="15" hidden="false" customHeight="true" outlineLevel="0" collapsed="false">
      <c r="A26" s="5" t="s">
        <v>35</v>
      </c>
      <c r="B26" s="18" t="n">
        <f aca="false">B18*B13*B15</f>
        <v>1.5</v>
      </c>
      <c r="C26" s="18" t="n">
        <f aca="false">C18*C13*C15</f>
        <v>4</v>
      </c>
      <c r="D26" s="18" t="n">
        <f aca="false">D18*D13*D15</f>
        <v>7.5</v>
      </c>
    </row>
    <row r="27" customFormat="false" ht="15" hidden="false" customHeight="true" outlineLevel="0" collapsed="false">
      <c r="A27" s="16" t="s">
        <v>36</v>
      </c>
      <c r="B27" s="18" t="n">
        <f aca="false">B18*(B13*B14)*B15</f>
        <v>1.98</v>
      </c>
      <c r="C27" s="18" t="n">
        <f aca="false">C18*(C13*C14)*C15</f>
        <v>8</v>
      </c>
      <c r="D27" s="18" t="n">
        <f aca="false">D18*(D13*D14)*D15</f>
        <v>30</v>
      </c>
    </row>
    <row r="28" customFormat="false" ht="15" hidden="false" customHeight="true" outlineLevel="0" collapsed="false">
      <c r="A28" s="5" t="s">
        <v>37</v>
      </c>
      <c r="B28" s="19" t="n">
        <f aca="false">B27-B26</f>
        <v>0.48</v>
      </c>
      <c r="C28" s="19" t="n">
        <f aca="false">C27-C26</f>
        <v>4</v>
      </c>
      <c r="D28" s="19" t="n">
        <f aca="false">D27-D26</f>
        <v>22.5</v>
      </c>
    </row>
    <row r="29" customFormat="false" ht="15" hidden="false" customHeight="true" outlineLevel="0" collapsed="false">
      <c r="A29" s="16" t="s">
        <v>38</v>
      </c>
      <c r="B29" s="17" t="n">
        <f aca="false">B27/B26-1</f>
        <v>0.32</v>
      </c>
      <c r="C29" s="17" t="n">
        <f aca="false">C27/C26-1</f>
        <v>1</v>
      </c>
      <c r="D29" s="17" t="n">
        <f aca="false">D27/D26-1</f>
        <v>3</v>
      </c>
    </row>
    <row r="31" customFormat="false" ht="15" hidden="false" customHeight="true" outlineLevel="0" collapsed="false">
      <c r="A31" s="4" t="s">
        <v>39</v>
      </c>
      <c r="B31" s="4"/>
      <c r="C31" s="4"/>
      <c r="D31" s="4"/>
      <c r="E31" s="4"/>
      <c r="F31" s="4"/>
    </row>
    <row r="32" customFormat="false" ht="15" hidden="false" customHeight="true" outlineLevel="0" collapsed="false">
      <c r="A32" s="5" t="s">
        <v>40</v>
      </c>
      <c r="B32" s="20" t="n">
        <f aca="false">B16</f>
        <v>84</v>
      </c>
      <c r="C32" s="20" t="n">
        <f aca="false">C16</f>
        <v>84</v>
      </c>
      <c r="D32" s="20" t="n">
        <f aca="false">D16</f>
        <v>84</v>
      </c>
    </row>
    <row r="33" customFormat="false" ht="15" hidden="false" customHeight="true" outlineLevel="0" collapsed="false">
      <c r="A33" s="16" t="s">
        <v>41</v>
      </c>
      <c r="B33" s="20" t="n">
        <f aca="false">B16*(1-B17)</f>
        <v>75.6</v>
      </c>
      <c r="C33" s="20" t="n">
        <f aca="false">C16*(1-C17)</f>
        <v>63</v>
      </c>
      <c r="D33" s="20" t="n">
        <f aca="false">D16*(1-D17)</f>
        <v>46.2</v>
      </c>
    </row>
    <row r="34" customFormat="false" ht="15" hidden="false" customHeight="true" outlineLevel="0" collapsed="false">
      <c r="A34" s="5" t="s">
        <v>42</v>
      </c>
      <c r="B34" s="21" t="n">
        <f aca="false">B32-B33</f>
        <v>8.39999999999999</v>
      </c>
      <c r="C34" s="21" t="n">
        <f aca="false">C32-C33</f>
        <v>21</v>
      </c>
      <c r="D34" s="21" t="n">
        <f aca="false">D32-D33</f>
        <v>37.8</v>
      </c>
    </row>
    <row r="35" customFormat="false" ht="15" hidden="false" customHeight="true" outlineLevel="0" collapsed="false">
      <c r="A35" s="16" t="s">
        <v>43</v>
      </c>
      <c r="B35" s="15" t="n">
        <f aca="false">B17</f>
        <v>0.1</v>
      </c>
      <c r="C35" s="15" t="n">
        <f aca="false">C17</f>
        <v>0.25</v>
      </c>
      <c r="D35" s="15" t="n">
        <f aca="false">D17</f>
        <v>0.45</v>
      </c>
    </row>
    <row r="37" customFormat="false" ht="15" hidden="false" customHeight="true" outlineLevel="0" collapsed="false">
      <c r="A37" s="3" t="s">
        <v>44</v>
      </c>
      <c r="B37" s="3"/>
      <c r="C37" s="3"/>
      <c r="D37" s="3"/>
      <c r="E37" s="3"/>
      <c r="F37" s="3"/>
    </row>
  </sheetData>
  <mergeCells count="9">
    <mergeCell ref="A1:F1"/>
    <mergeCell ref="A2:F2"/>
    <mergeCell ref="A4:F4"/>
    <mergeCell ref="A9:F9"/>
    <mergeCell ref="A11:F11"/>
    <mergeCell ref="A20:F20"/>
    <mergeCell ref="A25:F25"/>
    <mergeCell ref="A31:F31"/>
    <mergeCell ref="A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  <col collapsed="false" customWidth="true" hidden="false" outlineLevel="0" max="5" min="5" style="0" width="2"/>
    <col collapsed="false" customWidth="true" hidden="false" outlineLevel="0" max="6" min="6" style="0" width="52"/>
  </cols>
  <sheetData>
    <row r="1" customFormat="false" ht="24" hidden="false" customHeight="true" outlineLevel="0" collapsed="false">
      <c r="A1" s="2" t="s">
        <v>45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22" t="s">
        <v>46</v>
      </c>
      <c r="B3" s="22"/>
      <c r="C3" s="22"/>
      <c r="D3" s="22"/>
      <c r="E3" s="22"/>
      <c r="F3" s="22"/>
    </row>
    <row r="4" customFormat="false" ht="15" hidden="false" customHeight="false" outlineLevel="0" collapsed="false">
      <c r="A4" s="23" t="s">
        <v>47</v>
      </c>
      <c r="B4" s="24" t="n">
        <v>5000</v>
      </c>
      <c r="F4" s="7" t="s">
        <v>48</v>
      </c>
    </row>
    <row r="5" customFormat="false" ht="15" hidden="false" customHeight="false" outlineLevel="0" collapsed="false">
      <c r="A5" s="23" t="s">
        <v>49</v>
      </c>
      <c r="B5" s="25" t="n">
        <v>2000</v>
      </c>
      <c r="F5" s="7" t="s">
        <v>50</v>
      </c>
    </row>
    <row r="6" customFormat="false" ht="15" hidden="false" customHeight="false" outlineLevel="0" collapsed="false">
      <c r="A6" s="23" t="s">
        <v>51</v>
      </c>
      <c r="B6" s="24" t="n">
        <v>15000</v>
      </c>
      <c r="F6" s="7" t="s">
        <v>52</v>
      </c>
    </row>
    <row r="7" customFormat="false" ht="15" hidden="false" customHeight="false" outlineLevel="0" collapsed="false">
      <c r="A7" s="23" t="s">
        <v>53</v>
      </c>
      <c r="B7" s="26" t="n">
        <v>1</v>
      </c>
      <c r="F7" s="7" t="s">
        <v>54</v>
      </c>
    </row>
    <row r="9" customFormat="false" ht="15" hidden="false" customHeight="false" outlineLevel="0" collapsed="false">
      <c r="A9" s="27" t="s">
        <v>13</v>
      </c>
      <c r="B9" s="9" t="s">
        <v>14</v>
      </c>
      <c r="C9" s="9" t="s">
        <v>15</v>
      </c>
      <c r="D9" s="9" t="s">
        <v>16</v>
      </c>
      <c r="F9" s="10" t="s">
        <v>55</v>
      </c>
    </row>
    <row r="10" customFormat="false" ht="15" hidden="false" customHeight="false" outlineLevel="0" collapsed="false">
      <c r="A10" s="23" t="s">
        <v>56</v>
      </c>
      <c r="B10" s="18" t="n">
        <f aca="false">$B$5*Model!B13*Model!B15</f>
        <v>3</v>
      </c>
      <c r="C10" s="18" t="n">
        <f aca="false">$B$5*Model!C13*Model!C15</f>
        <v>8</v>
      </c>
      <c r="D10" s="18" t="n">
        <f aca="false">$B$5*Model!D13*Model!D15</f>
        <v>15</v>
      </c>
      <c r="F10" s="7" t="s">
        <v>57</v>
      </c>
    </row>
    <row r="11" customFormat="false" ht="15" hidden="false" customHeight="false" outlineLevel="0" collapsed="false">
      <c r="A11" s="28" t="s">
        <v>58</v>
      </c>
      <c r="B11" s="18" t="n">
        <f aca="false">$B$5*(Model!B13*Model!B14)*Model!B15</f>
        <v>3.96</v>
      </c>
      <c r="C11" s="18" t="n">
        <f aca="false">$B$5*(Model!C13*Model!C14)*Model!C15</f>
        <v>16</v>
      </c>
      <c r="D11" s="18" t="n">
        <f aca="false">$B$5*(Model!D13*Model!D14)*Model!D15</f>
        <v>60</v>
      </c>
      <c r="F11" s="7" t="s">
        <v>59</v>
      </c>
    </row>
    <row r="12" customFormat="false" ht="15" hidden="false" customHeight="false" outlineLevel="0" collapsed="false">
      <c r="A12" s="23" t="s">
        <v>60</v>
      </c>
      <c r="B12" s="19" t="n">
        <f aca="false">B11-B10</f>
        <v>0.96</v>
      </c>
      <c r="C12" s="19" t="n">
        <f aca="false">C11-C10</f>
        <v>8</v>
      </c>
      <c r="D12" s="19" t="n">
        <f aca="false">D11-D10</f>
        <v>45</v>
      </c>
    </row>
    <row r="13" customFormat="false" ht="15" hidden="false" customHeight="false" outlineLevel="0" collapsed="false">
      <c r="A13" s="28" t="s">
        <v>61</v>
      </c>
      <c r="B13" s="29" t="n">
        <f aca="false">B12*$B$6*$B$7</f>
        <v>14400</v>
      </c>
      <c r="C13" s="29" t="n">
        <f aca="false">C12*$B$6*$B$7</f>
        <v>120000</v>
      </c>
      <c r="D13" s="29" t="n">
        <f aca="false">D12*$B$6*$B$7</f>
        <v>675000</v>
      </c>
    </row>
    <row r="14" customFormat="false" ht="15" hidden="false" customHeight="false" outlineLevel="0" collapsed="false">
      <c r="A14" s="23" t="s">
        <v>62</v>
      </c>
      <c r="B14" s="29" t="n">
        <f aca="false">$B$4</f>
        <v>5000</v>
      </c>
      <c r="C14" s="29" t="n">
        <f aca="false">$B$4</f>
        <v>5000</v>
      </c>
      <c r="D14" s="29" t="n">
        <f aca="false">$B$4</f>
        <v>5000</v>
      </c>
    </row>
    <row r="15" customFormat="false" ht="15" hidden="false" customHeight="false" outlineLevel="0" collapsed="false">
      <c r="A15" s="28" t="s">
        <v>63</v>
      </c>
      <c r="B15" s="30" t="n">
        <f aca="false">B13-B14</f>
        <v>9400.00000000001</v>
      </c>
      <c r="C15" s="30" t="n">
        <f aca="false">C13-C14</f>
        <v>115000</v>
      </c>
      <c r="D15" s="30" t="n">
        <f aca="false">D13-D14</f>
        <v>670000</v>
      </c>
    </row>
    <row r="16" customFormat="false" ht="15" hidden="false" customHeight="false" outlineLevel="0" collapsed="false">
      <c r="A16" s="28" t="s">
        <v>64</v>
      </c>
      <c r="B16" s="31" t="n">
        <f aca="false">B13/B14</f>
        <v>2.88</v>
      </c>
      <c r="C16" s="31" t="n">
        <f aca="false">C13/C14</f>
        <v>24</v>
      </c>
      <c r="D16" s="31" t="n">
        <f aca="false">D13/D14</f>
        <v>135</v>
      </c>
    </row>
    <row r="17" customFormat="false" ht="15" hidden="false" customHeight="false" outlineLevel="0" collapsed="false">
      <c r="A17" s="23" t="s">
        <v>65</v>
      </c>
      <c r="B17" s="32" t="n">
        <f aca="false">B15/B14</f>
        <v>1.88</v>
      </c>
      <c r="C17" s="32" t="n">
        <f aca="false">C15/C14</f>
        <v>23</v>
      </c>
      <c r="D17" s="32" t="n">
        <f aca="false">D15/D14</f>
        <v>134</v>
      </c>
    </row>
    <row r="18" customFormat="false" ht="15" hidden="false" customHeight="false" outlineLevel="0" collapsed="false">
      <c r="A18" s="23" t="s">
        <v>66</v>
      </c>
      <c r="B18" s="33" t="n">
        <f aca="false">$B$4/$B$6</f>
        <v>0.333333333333333</v>
      </c>
      <c r="C18" s="33" t="n">
        <f aca="false">$B$4/$B$6</f>
        <v>0.333333333333333</v>
      </c>
      <c r="D18" s="33" t="n">
        <f aca="false">$B$4/$B$6</f>
        <v>0.333333333333333</v>
      </c>
    </row>
    <row r="19" customFormat="false" ht="15" hidden="false" customHeight="false" outlineLevel="0" collapsed="false">
      <c r="A19" s="23" t="s">
        <v>67</v>
      </c>
      <c r="B19" s="34" t="str">
        <f aca="false">IF(B12&gt;=B18,"YES","no")</f>
        <v>YES</v>
      </c>
      <c r="C19" s="34" t="str">
        <f aca="false">IF(C12&gt;=C18,"YES","no")</f>
        <v>YES</v>
      </c>
      <c r="D19" s="34" t="str">
        <f aca="false">IF(D12&gt;=D18,"YES","no")</f>
        <v>YES</v>
      </c>
    </row>
    <row r="21" customFormat="false" ht="15" hidden="false" customHeight="false" outlineLevel="0" collapsed="false">
      <c r="A21" s="3" t="s">
        <v>68</v>
      </c>
      <c r="B21" s="3"/>
      <c r="C21" s="3"/>
      <c r="D21" s="3"/>
      <c r="E21" s="3"/>
      <c r="F21" s="3"/>
    </row>
  </sheetData>
  <mergeCells count="3">
    <mergeCell ref="A1:F1"/>
    <mergeCell ref="A3:F3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60"/>
  </cols>
  <sheetData>
    <row r="1" customFormat="false" ht="15" hidden="false" customHeight="true" outlineLevel="0" collapsed="false">
      <c r="A1" s="35" t="s">
        <v>69</v>
      </c>
      <c r="B1" s="35"/>
      <c r="C1" s="35"/>
    </row>
    <row r="2" customFormat="false" ht="15" hidden="false" customHeight="true" outlineLevel="0" collapsed="false">
      <c r="A2" s="8" t="s">
        <v>70</v>
      </c>
      <c r="B2" s="8" t="s">
        <v>71</v>
      </c>
      <c r="C2" s="8" t="s">
        <v>72</v>
      </c>
    </row>
    <row r="3" customFormat="false" ht="15" hidden="false" customHeight="true" outlineLevel="0" collapsed="false">
      <c r="A3" s="36" t="s">
        <v>73</v>
      </c>
      <c r="B3" s="36" t="s">
        <v>74</v>
      </c>
      <c r="C3" s="36" t="s">
        <v>75</v>
      </c>
    </row>
    <row r="4" customFormat="false" ht="15" hidden="false" customHeight="true" outlineLevel="0" collapsed="false">
      <c r="A4" s="36" t="s">
        <v>73</v>
      </c>
      <c r="B4" s="36" t="s">
        <v>76</v>
      </c>
      <c r="C4" s="36" t="s">
        <v>77</v>
      </c>
    </row>
    <row r="5" customFormat="false" ht="15" hidden="false" customHeight="true" outlineLevel="0" collapsed="false">
      <c r="A5" s="36" t="s">
        <v>78</v>
      </c>
      <c r="B5" s="36" t="s">
        <v>79</v>
      </c>
      <c r="C5" s="36" t="s">
        <v>80</v>
      </c>
    </row>
    <row r="6" customFormat="false" ht="15" hidden="false" customHeight="true" outlineLevel="0" collapsed="false">
      <c r="A6" s="36" t="s">
        <v>78</v>
      </c>
      <c r="B6" s="36" t="s">
        <v>81</v>
      </c>
      <c r="C6" s="36" t="s">
        <v>82</v>
      </c>
    </row>
    <row r="7" customFormat="false" ht="15" hidden="false" customHeight="true" outlineLevel="0" collapsed="false">
      <c r="A7" s="36" t="s">
        <v>78</v>
      </c>
      <c r="B7" s="36" t="s">
        <v>83</v>
      </c>
      <c r="C7" s="36" t="s">
        <v>84</v>
      </c>
    </row>
    <row r="8" customFormat="false" ht="15" hidden="false" customHeight="true" outlineLevel="0" collapsed="false">
      <c r="A8" s="36" t="s">
        <v>85</v>
      </c>
      <c r="B8" s="36" t="s">
        <v>86</v>
      </c>
      <c r="C8" s="36" t="s">
        <v>87</v>
      </c>
    </row>
    <row r="9" customFormat="false" ht="15" hidden="false" customHeight="true" outlineLevel="0" collapsed="false">
      <c r="A9" s="36" t="s">
        <v>88</v>
      </c>
      <c r="B9" s="36" t="s">
        <v>89</v>
      </c>
      <c r="C9" s="36" t="s">
        <v>90</v>
      </c>
    </row>
    <row r="10" customFormat="false" ht="15" hidden="false" customHeight="true" outlineLevel="0" collapsed="false">
      <c r="A10" s="36" t="s">
        <v>91</v>
      </c>
      <c r="B10" s="36" t="s">
        <v>92</v>
      </c>
      <c r="C10" s="36" t="s">
        <v>93</v>
      </c>
    </row>
    <row r="11" customFormat="false" ht="15" hidden="false" customHeight="true" outlineLevel="0" collapsed="false">
      <c r="A11" s="36" t="s">
        <v>94</v>
      </c>
      <c r="B11" s="36" t="s">
        <v>95</v>
      </c>
      <c r="C11" s="36" t="s">
        <v>96</v>
      </c>
    </row>
    <row r="12" customFormat="false" ht="15" hidden="false" customHeight="true" outlineLevel="0" collapsed="false">
      <c r="A12" s="36" t="s">
        <v>97</v>
      </c>
      <c r="B12" s="36" t="s">
        <v>98</v>
      </c>
      <c r="C12" s="36" t="s">
        <v>99</v>
      </c>
    </row>
    <row r="14" customFormat="false" ht="15" hidden="false" customHeight="true" outlineLevel="0" collapsed="false">
      <c r="A14" s="37" t="s">
        <v>100</v>
      </c>
      <c r="B14" s="37"/>
      <c r="C14" s="37"/>
    </row>
  </sheetData>
  <mergeCells count="2">
    <mergeCell ref="A1:C1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2026-05-23T00:02:47Z</dcterms:created>
  <dc:creator>openpyxl</dc:creator>
  <dc:description/>
  <dc:language>en-US</dc:language>
  <cp:lastModifiedBy/>
  <dcterms:modified xsi:type="dcterms:W3CDTF">2026-05-23T00:57:07Z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